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li\OneDrive\Documents\CDCE\CA Survey 2025\"/>
    </mc:Choice>
  </mc:AlternateContent>
  <xr:revisionPtr revIDLastSave="0" documentId="13_ncr:1_{97ADAA73-8962-4F83-AEE0-CFEBC82E8F5C}" xr6:coauthVersionLast="47" xr6:coauthVersionMax="47" xr10:uidLastSave="{00000000-0000-0000-0000-000000000000}"/>
  <bookViews>
    <workbookView xWindow="-110" yWindow="-110" windowWidth="19420" windowHeight="11500" xr2:uid="{BAA26DEC-6694-401F-A928-BD17FE2E68F3}"/>
  </bookViews>
  <sheets>
    <sheet name="License" sheetId="1" r:id="rId1"/>
    <sheet name="State ID" sheetId="2" r:id="rId2"/>
    <sheet name="Passport" sheetId="3" r:id="rId3"/>
    <sheet name="DPOC" sheetId="4" r:id="rId4"/>
    <sheet name="Knowledg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J16" i="1"/>
  <c r="H16" i="1"/>
  <c r="F16" i="1"/>
  <c r="F12" i="1"/>
  <c r="C25" i="1"/>
  <c r="C24" i="1"/>
  <c r="C23" i="1"/>
  <c r="C22" i="1"/>
  <c r="C21" i="1"/>
  <c r="C20" i="1"/>
  <c r="C19" i="1"/>
  <c r="C15" i="1"/>
  <c r="C14" i="1"/>
  <c r="C13" i="1"/>
  <c r="C16" i="1"/>
  <c r="C12" i="1"/>
  <c r="F4" i="1"/>
  <c r="F3" i="1"/>
  <c r="F2" i="1"/>
</calcChain>
</file>

<file path=xl/sharedStrings.xml><?xml version="1.0" encoding="utf-8"?>
<sst xmlns="http://schemas.openxmlformats.org/spreadsheetml/2006/main" count="48" uniqueCount="44">
  <si>
    <t>Total citizen population</t>
  </si>
  <si>
    <t>Democrat</t>
  </si>
  <si>
    <t>Republican</t>
  </si>
  <si>
    <t>Independent</t>
  </si>
  <si>
    <t>Survey</t>
  </si>
  <si>
    <t>Pop. (in thousands)</t>
  </si>
  <si>
    <t>Pop. Estimate (in thousands)</t>
  </si>
  <si>
    <t>Male Citizens</t>
  </si>
  <si>
    <t>Female Citizens</t>
  </si>
  <si>
    <t>White non-Hispanic citizens</t>
  </si>
  <si>
    <t>Black citizens</t>
  </si>
  <si>
    <t>Hispanic citizens</t>
  </si>
  <si>
    <t>Asian citizens</t>
  </si>
  <si>
    <t>18-24 citizens</t>
  </si>
  <si>
    <t>Have a current (non-expired) California driver's license</t>
  </si>
  <si>
    <t>Have a current (non-expired) driver's license from another state</t>
  </si>
  <si>
    <t>Have an expired driver's license from California</t>
  </si>
  <si>
    <t>Have an expired driver's license from another state</t>
  </si>
  <si>
    <t>Do not have one</t>
  </si>
  <si>
    <t>license_details</t>
  </si>
  <si>
    <t>Do Not Have One</t>
  </si>
  <si>
    <t>Expired OOS License</t>
  </si>
  <si>
    <t>Current OOS License</t>
  </si>
  <si>
    <t>Expired CA License, Incorrect Details</t>
  </si>
  <si>
    <t>Expired CA License, Correct Details</t>
  </si>
  <si>
    <t>Current CA License, Incorrect Details</t>
  </si>
  <si>
    <t>Current CA License, Correct Details</t>
  </si>
  <si>
    <t>id_passport</t>
  </si>
  <si>
    <t>Freq</t>
  </si>
  <si>
    <t>Percent</t>
  </si>
  <si>
    <t>Dem</t>
  </si>
  <si>
    <t>Rep</t>
  </si>
  <si>
    <t>Ind</t>
  </si>
  <si>
    <t>No Passport</t>
  </si>
  <si>
    <t>Expired Passport, Incorrect Name</t>
  </si>
  <si>
    <t>Expired Passport, Correct Name</t>
  </si>
  <si>
    <t>Current Passport, Incorrect Name</t>
  </si>
  <si>
    <t>Current Passport, Correct Name</t>
  </si>
  <si>
    <t>Pop. Estimate</t>
  </si>
  <si>
    <t>Dem Pop</t>
  </si>
  <si>
    <t>Rep Pop</t>
  </si>
  <si>
    <t>Ind Pop</t>
  </si>
  <si>
    <t>Age 18-29</t>
  </si>
  <si>
    <t>Pop 18-29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</si>
</sst>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1" fontId="0" fillId="0" borderId="1" xfId="0" applyNumberFormat="1" applyBorder="1" applyAlignment="1">
      <alignment horizontal="right"/>
    </xf>
    <xf numFmtId="1" fontId="0" fillId="0" borderId="0" xfId="0" applyNumberFormat="1"/>
    <xf numFmtId="0" fontId="0" fillId="2" borderId="0" xfId="0" applyFill="1"/>
    <xf numFmtId="1" fontId="0" fillId="2" borderId="1" xfId="0" applyNumberFormat="1" applyFill="1" applyBorder="1" applyAlignment="1">
      <alignment horizontal="right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83A-6F1D-452B-8525-1D1736681620}">
  <dimension ref="A1:M25"/>
  <sheetViews>
    <sheetView tabSelected="1" workbookViewId="0">
      <selection activeCell="J19" sqref="J19"/>
    </sheetView>
  </sheetViews>
  <sheetFormatPr defaultRowHeight="14.5" x14ac:dyDescent="0.35"/>
  <cols>
    <col min="3" max="3" width="8.7265625" style="3"/>
  </cols>
  <sheetData>
    <row r="1" spans="1:13" x14ac:dyDescent="0.35">
      <c r="B1" t="s">
        <v>5</v>
      </c>
      <c r="E1" t="s">
        <v>4</v>
      </c>
      <c r="F1" t="s">
        <v>6</v>
      </c>
    </row>
    <row r="2" spans="1:13" x14ac:dyDescent="0.35">
      <c r="A2" s="4" t="s">
        <v>0</v>
      </c>
      <c r="B2" s="5">
        <v>25327</v>
      </c>
      <c r="D2" t="s">
        <v>1</v>
      </c>
      <c r="E2" s="1">
        <v>0.52317800000000003</v>
      </c>
      <c r="F2" s="3">
        <f>B2*E2</f>
        <v>13250.529206000001</v>
      </c>
    </row>
    <row r="3" spans="1:13" x14ac:dyDescent="0.35">
      <c r="A3" t="s">
        <v>7</v>
      </c>
      <c r="B3" s="3">
        <v>12292</v>
      </c>
      <c r="D3" t="s">
        <v>2</v>
      </c>
      <c r="E3" s="1">
        <v>0.32185064499999999</v>
      </c>
      <c r="F3" s="3">
        <f>B2*E3</f>
        <v>8151.5112859149995</v>
      </c>
    </row>
    <row r="4" spans="1:13" x14ac:dyDescent="0.35">
      <c r="A4" t="s">
        <v>8</v>
      </c>
      <c r="B4" s="3">
        <v>13035</v>
      </c>
      <c r="D4" t="s">
        <v>3</v>
      </c>
      <c r="E4" s="1">
        <v>0.15239096399999999</v>
      </c>
      <c r="F4" s="3">
        <f>B2*E4</f>
        <v>3859.6059452279997</v>
      </c>
    </row>
    <row r="5" spans="1:13" x14ac:dyDescent="0.35">
      <c r="A5" t="s">
        <v>9</v>
      </c>
      <c r="B5" s="3">
        <v>10792</v>
      </c>
    </row>
    <row r="6" spans="1:13" x14ac:dyDescent="0.35">
      <c r="A6" t="s">
        <v>10</v>
      </c>
      <c r="B6" s="2">
        <v>1822</v>
      </c>
    </row>
    <row r="7" spans="1:13" x14ac:dyDescent="0.35">
      <c r="A7" t="s">
        <v>11</v>
      </c>
      <c r="B7" s="2">
        <v>8272</v>
      </c>
    </row>
    <row r="8" spans="1:13" x14ac:dyDescent="0.35">
      <c r="A8" t="s">
        <v>12</v>
      </c>
      <c r="B8" s="2">
        <v>3915</v>
      </c>
    </row>
    <row r="9" spans="1:13" x14ac:dyDescent="0.35">
      <c r="A9" t="s">
        <v>13</v>
      </c>
      <c r="B9" s="3">
        <v>3054</v>
      </c>
    </row>
    <row r="11" spans="1:13" x14ac:dyDescent="0.35">
      <c r="E11" t="s">
        <v>30</v>
      </c>
      <c r="F11" t="s">
        <v>39</v>
      </c>
      <c r="G11" t="s">
        <v>31</v>
      </c>
      <c r="H11" t="s">
        <v>40</v>
      </c>
      <c r="I11" t="s">
        <v>32</v>
      </c>
      <c r="J11" t="s">
        <v>41</v>
      </c>
      <c r="L11" t="s">
        <v>42</v>
      </c>
      <c r="M11" t="s">
        <v>43</v>
      </c>
    </row>
    <row r="12" spans="1:13" x14ac:dyDescent="0.35">
      <c r="A12" t="s">
        <v>14</v>
      </c>
      <c r="B12" s="1">
        <v>0.84101570660000002</v>
      </c>
      <c r="C12" s="3">
        <f>B2*B12</f>
        <v>21300.404801058201</v>
      </c>
      <c r="E12" s="1">
        <v>0.85031389999999996</v>
      </c>
      <c r="F12">
        <f>F2*E12</f>
        <v>11267.109166217764</v>
      </c>
      <c r="G12" s="1">
        <v>0.87916430000000001</v>
      </c>
      <c r="I12" s="1">
        <v>0.74971180000000004</v>
      </c>
    </row>
    <row r="13" spans="1:13" x14ac:dyDescent="0.35">
      <c r="A13" t="s">
        <v>15</v>
      </c>
      <c r="B13" s="1">
        <v>2.5721363600000002E-2</v>
      </c>
      <c r="C13" s="3">
        <f>B2*B13</f>
        <v>651.44497589720004</v>
      </c>
      <c r="E13" s="1">
        <v>1.6780409999999999E-2</v>
      </c>
      <c r="G13" s="1">
        <v>4.764699E-2</v>
      </c>
      <c r="I13" s="1">
        <v>1.085704E-2</v>
      </c>
    </row>
    <row r="14" spans="1:13" x14ac:dyDescent="0.35">
      <c r="A14" t="s">
        <v>16</v>
      </c>
      <c r="B14" s="1">
        <v>2.4893754099999998E-2</v>
      </c>
      <c r="C14" s="3">
        <f>B2*B14</f>
        <v>630.48411009069991</v>
      </c>
      <c r="E14" s="1">
        <v>2.2442380000000001E-2</v>
      </c>
      <c r="G14" s="1">
        <v>2.910076E-2</v>
      </c>
      <c r="I14" s="1">
        <v>2.5262880000000001E-2</v>
      </c>
    </row>
    <row r="15" spans="1:13" x14ac:dyDescent="0.35">
      <c r="A15" t="s">
        <v>17</v>
      </c>
      <c r="B15" s="1">
        <v>1.0512479999999999E-4</v>
      </c>
      <c r="C15" s="3">
        <f>B2*B15</f>
        <v>2.6624958095999998</v>
      </c>
      <c r="E15" s="1">
        <v>4.3581980000000002E-5</v>
      </c>
      <c r="G15" s="1">
        <v>0</v>
      </c>
      <c r="I15" s="1">
        <v>5.4102318E-3</v>
      </c>
    </row>
    <row r="16" spans="1:13" x14ac:dyDescent="0.35">
      <c r="A16" t="s">
        <v>18</v>
      </c>
      <c r="B16" s="1">
        <v>0.10826405090000001</v>
      </c>
      <c r="C16" s="3">
        <f>B2*B16</f>
        <v>2742.0036171443003</v>
      </c>
      <c r="E16" s="1">
        <v>0.11041974</v>
      </c>
      <c r="F16">
        <f>F2*E16</f>
        <v>1463.1199897889267</v>
      </c>
      <c r="G16" s="1">
        <v>4.4087939999999999E-2</v>
      </c>
      <c r="H16">
        <f>F3*G16</f>
        <v>359.38334048274334</v>
      </c>
      <c r="I16" s="1">
        <v>0.21362723</v>
      </c>
      <c r="J16">
        <f>F4*I16</f>
        <v>824.51692697058934</v>
      </c>
      <c r="L16" s="6">
        <v>0.29588128000000002</v>
      </c>
      <c r="M16">
        <f>B9*L16</f>
        <v>903.62142912000013</v>
      </c>
    </row>
    <row r="18" spans="1:3" x14ac:dyDescent="0.35">
      <c r="A18" t="s">
        <v>19</v>
      </c>
    </row>
    <row r="19" spans="1:3" x14ac:dyDescent="0.35">
      <c r="A19" t="s">
        <v>20</v>
      </c>
      <c r="B19" s="1">
        <v>0.10826656160000001</v>
      </c>
      <c r="C19" s="3">
        <f>B2*B19</f>
        <v>2742.0672056431999</v>
      </c>
    </row>
    <row r="20" spans="1:3" x14ac:dyDescent="0.35">
      <c r="A20" t="s">
        <v>21</v>
      </c>
      <c r="B20" s="1">
        <v>1.051272E-4</v>
      </c>
      <c r="C20" s="3">
        <f>B2*B20</f>
        <v>2.6625565943999998</v>
      </c>
    </row>
    <row r="21" spans="1:3" x14ac:dyDescent="0.35">
      <c r="A21" t="s">
        <v>22</v>
      </c>
      <c r="B21" s="1">
        <v>2.57219601E-2</v>
      </c>
      <c r="C21" s="3">
        <f>B2*B21</f>
        <v>651.46008345270002</v>
      </c>
    </row>
    <row r="22" spans="1:3" x14ac:dyDescent="0.35">
      <c r="A22" t="s">
        <v>23</v>
      </c>
      <c r="B22" s="1">
        <v>1.0930989E-2</v>
      </c>
      <c r="C22" s="3">
        <f>B2*B22</f>
        <v>276.84915840299999</v>
      </c>
    </row>
    <row r="23" spans="1:3" x14ac:dyDescent="0.35">
      <c r="A23" t="s">
        <v>24</v>
      </c>
      <c r="B23" s="1">
        <v>1.39633424E-2</v>
      </c>
      <c r="C23" s="3">
        <f>B2*B23</f>
        <v>353.64957296480003</v>
      </c>
    </row>
    <row r="24" spans="1:3" x14ac:dyDescent="0.35">
      <c r="A24" t="s">
        <v>25</v>
      </c>
      <c r="B24" s="1">
        <v>7.5516965199999994E-2</v>
      </c>
      <c r="C24" s="3">
        <f>B2*B24</f>
        <v>1912.6181776203998</v>
      </c>
    </row>
    <row r="25" spans="1:3" x14ac:dyDescent="0.35">
      <c r="A25" t="s">
        <v>26</v>
      </c>
      <c r="B25" s="1">
        <v>0.76549505439999999</v>
      </c>
      <c r="C25" s="3">
        <f>B2*B25</f>
        <v>19387.693242788799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8695-74FC-455A-BA32-110F264A0F7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4CA6-B580-4A54-ADF4-AC1937AAC822}">
  <dimension ref="A1:I6"/>
  <sheetViews>
    <sheetView workbookViewId="0">
      <selection activeCell="D2" sqref="D2"/>
    </sheetView>
  </sheetViews>
  <sheetFormatPr defaultRowHeight="14.5" x14ac:dyDescent="0.35"/>
  <sheetData>
    <row r="1" spans="1:9" x14ac:dyDescent="0.35">
      <c r="A1" t="s">
        <v>27</v>
      </c>
      <c r="B1" t="s">
        <v>28</v>
      </c>
      <c r="C1" t="s">
        <v>29</v>
      </c>
      <c r="D1" t="s">
        <v>38</v>
      </c>
      <c r="F1" t="s">
        <v>30</v>
      </c>
      <c r="G1" t="s">
        <v>31</v>
      </c>
      <c r="H1" t="s">
        <v>32</v>
      </c>
      <c r="I1" t="s">
        <v>38</v>
      </c>
    </row>
    <row r="2" spans="1:9" x14ac:dyDescent="0.35">
      <c r="A2" t="s">
        <v>33</v>
      </c>
      <c r="B2" s="3">
        <v>374.95409999999998</v>
      </c>
      <c r="C2" s="3">
        <v>24.043667899999999</v>
      </c>
      <c r="F2" s="1">
        <v>0.21085242900000001</v>
      </c>
      <c r="G2" s="1">
        <v>0.21550449999999999</v>
      </c>
      <c r="H2" s="1">
        <v>0.36745687500000002</v>
      </c>
    </row>
    <row r="3" spans="1:9" x14ac:dyDescent="0.35">
      <c r="A3" t="s">
        <v>34</v>
      </c>
      <c r="B3" s="3">
        <v>32.128100000000003</v>
      </c>
      <c r="C3" s="3">
        <v>2.0601918000000001</v>
      </c>
      <c r="F3" s="1">
        <v>2.0254046000000001E-2</v>
      </c>
      <c r="G3" s="1">
        <v>2.767499E-2</v>
      </c>
      <c r="H3" s="1">
        <v>7.565001E-3</v>
      </c>
    </row>
    <row r="4" spans="1:9" x14ac:dyDescent="0.35">
      <c r="A4" t="s">
        <v>35</v>
      </c>
      <c r="B4" s="3">
        <v>179.66050000000001</v>
      </c>
      <c r="C4" s="3">
        <v>11.5206032</v>
      </c>
      <c r="F4" s="1">
        <v>0.101190699</v>
      </c>
      <c r="G4" s="1">
        <v>0.12150173</v>
      </c>
      <c r="H4" s="1">
        <v>0.153999785</v>
      </c>
    </row>
    <row r="5" spans="1:9" x14ac:dyDescent="0.35">
      <c r="A5" t="s">
        <v>36</v>
      </c>
      <c r="B5" s="3">
        <v>8.4326000000000008</v>
      </c>
      <c r="C5" s="3">
        <v>0.54073450000000001</v>
      </c>
      <c r="F5" s="1">
        <v>2.354288E-3</v>
      </c>
      <c r="G5" s="1">
        <v>7.5894600000000001E-3</v>
      </c>
      <c r="H5" s="1">
        <v>1.1441753000000001E-2</v>
      </c>
    </row>
    <row r="6" spans="1:9" x14ac:dyDescent="0.35">
      <c r="A6" t="s">
        <v>37</v>
      </c>
      <c r="B6" s="3">
        <v>964.29600000000005</v>
      </c>
      <c r="C6" s="3">
        <v>61.834802600000003</v>
      </c>
      <c r="F6" s="1">
        <v>0.66534853800000004</v>
      </c>
      <c r="G6" s="1">
        <v>0.62772932999999997</v>
      </c>
      <c r="H6" s="1">
        <v>0.45953658600000002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8064-FE33-43F8-8083-E06D0A7FF41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02AA-41F0-4003-B543-9FD754D8607C}">
  <dimension ref="A1"/>
  <sheetViews>
    <sheetView workbookViewId="0">
      <selection activeCell="E18" sqref="E18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License</vt:lpstr>
      <vt:lpstr>State ID</vt:lpstr>
      <vt:lpstr>Passport</vt:lpstr>
      <vt:lpstr>DPOC</vt:lpstr>
      <vt:lpstr>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Andres Rothschild</dc:creator>
  <cp:lastModifiedBy>Jillian Andres Rothschild</cp:lastModifiedBy>
  <dcterms:created xsi:type="dcterms:W3CDTF">2026-02-26T16:54:50Z</dcterms:created>
  <dcterms:modified xsi:type="dcterms:W3CDTF">2026-03-04T21:12:13Z</dcterms:modified>
</cp:coreProperties>
</file>